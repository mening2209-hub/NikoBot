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Balans_September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<sst xmlns="http://schemas.openxmlformats.org/spreadsheetml/2006/main" count="22" uniqueCount="18">
  <si>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T/r</t>
  </si>
  <si>
    <t>Operatsiya Turi</t>
  </si>
  <si>
    <t>Nomi / Tavsifi</t>
  </si>
  <si>
    <t>Miqdori</t>
  </si>
  <si>
    <t>Narxi / Summasi</t>
  </si>
  <si>
    <t>Jami Summa</t>
  </si>
  <si>
    <t>Sanasi</t>
  </si>
  <si>
    <t>Kirim</t>
  </si>
  <si>
    <t>Sinov Mahsulot</t>
  </si>
  <si>
    <t>2026-09-15</t>
  </si>
  <si>
    <t>Chiqdi</t>
  </si>
  <si>
    <t>Sinov Xarajat</t>
  </si>
  <si>
    <t>Svet</t>
  </si>
  <si>
    <t>Oylik</t>
  </si>
  <si>
    <t>Anvar</t>
  </si>
  <si>
    <t>JAMI KIRIM:</t>
  </si>
  <si>
    <t>JAMI XARAJAT:</t>
  </si>
  <si>
    <t>SOF FOYDA: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</si>
</sst>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Kirim va Xarajatlar Taqqoslamasi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Balans_September_2026!$E$7:$E$8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Balans_September_2026!$F$7:$F$8</c:f>
              <c:numCache>
                <c:formatCode>General</c:formatCode>
                <c:ptCount val="2"/>
                <c:pt idx="0">
                  <c:v>1000000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Ko'rsatkichlar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Summa (so'm)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61ed6a-efcf-44f5-a725-d81d88e40cf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Moliyaviy Nisbat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Balans_September_2026!$E$7:$E$8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Balans_September_2026!$F$7:$F$8</c:f>
              <c:numCache>
                <c:formatCode>General</c:formatCode>
                <c:ptCount val="2"/>
                <c:pt idx="0">
                  <c:v>1000000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431c69-98cd-45d7-a1cb-3a3dc6c73b1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4200525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4200525" y="3238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tabSelected="1" workbookViewId="0">
      <selection activeCell="A1" sqref="A1"/>
    </sheetView>
  </sheetViews>
  <sheetFormatPr defaultColWidth="9" defaultRowHeight="15" outlineLevelCol="6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>
        <v>1</v>
      </c>
      <c r="E3">
        <v>1000000</v>
      </c>
      <c r="F3">
        <f>D3*E3</f>
        <v>1000000</v>
      </c>
      <c r="G3" t="s">
        <v>9</v>
      </c>
    </row>
    <row r="4" spans="1:7">
      <c r="A4">
        <v>2</v>
      </c>
      <c r="B4" t="s">
        <v>10</v>
      </c>
      <c r="C4" t="s">
        <v>11</v>
      </c>
      <c r="D4">
        <v>1</v>
      </c>
      <c r="E4">
        <v>200000</v>
      </c>
      <c r="F4">
        <f>D4*E4</f>
        <v>200000</v>
      </c>
      <c r="G4" t="s">
        <v>9</v>
      </c>
    </row>
    <row r="5" spans="1:7">
      <c r="A5">
        <v>3</v>
      </c>
      <c r="B5" t="s">
        <v>10</v>
      </c>
      <c r="C5" t="s">
        <v>12</v>
      </c>
      <c r="D5">
        <v>1</v>
      </c>
      <c r="E5">
        <v>350000</v>
      </c>
      <c r="F5">
        <f>D5*E5</f>
        <v>350000</v>
      </c>
      <c r="G5" t="s">
        <v>9</v>
      </c>
    </row>
    <row r="6" spans="1:7">
      <c r="A6">
        <v>4</v>
      </c>
      <c r="B6" t="s">
        <v>13</v>
      </c>
      <c r="C6" t="s">
        <v>14</v>
      </c>
      <c r="D6">
        <v>1</v>
      </c>
      <c r="E6">
        <v>4500000</v>
      </c>
      <c r="F6">
        <f>D6*E6</f>
        <v>4500000</v>
      </c>
      <c r="G6" t="s">
        <v>9</v>
      </c>
    </row>
    <row r="7" spans="1:7">
      <c r="E7" t="s">
        <v>15</v>
      </c>
      <c r="F7">
        <f>SUMIF(B3:B6,"Kirim",F3:F6)</f>
        <v>1000000</v>
      </c>
    </row>
    <row r="8" spans="1:7">
      <c r="E8" t="s">
        <v>16</v>
      </c>
      <c r="F8">
        <f>SUMIF(B3:B6,"Chiqdi",F3:F6)+SUMIF(B3:B6,"Oylik",F3:F6)</f>
        <v>5050000</v>
      </c>
    </row>
    <row r="9" spans="1:7">
      <c r="E9" s="2" t="s">
        <v>17</v>
      </c>
      <c r="F9" s="2">
        <f>F7-F8</f>
        <v>-4050000</v>
      </c>
    </row>
  </sheetData>
  <conditionalFormatting sqref="F9">
    <cfRule type="cellIs" dxfId="0" priority="1" stopIfTrue="1" operator="lessThan">
      <formula>0</formula>
    </cfRule>
    <cfRule type="cellIs" dxfId="1" priority="2" stopIfTrue="1" operator="greater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Balans_September_2026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2026-09-15T13:54:00Z</dcterms:created>
  <dcterms:modified xsi:type="dcterms:W3CDTF">2026-09-15T13:54:17Z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8AEFD7A1476C4963BD4B44D5AF855E96_12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