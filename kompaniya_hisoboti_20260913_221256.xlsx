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Balans_September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<sst xmlns="http://schemas.openxmlformats.org/spreadsheetml/2006/main" count="19" uniqueCount="17">
  <si>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T/r</t>
  </si>
  <si>
    <t>Operatsiya Turi</t>
  </si>
  <si>
    <t>Nomi / Tavsifi</t>
  </si>
  <si>
    <t>Miqdori</t>
  </si>
  <si>
    <t>Narxi / Summasi</t>
  </si>
  <si>
    <t>Jami Summa</t>
  </si>
  <si>
    <t>Kirim</t>
  </si>
  <si>
    <t>Sinov Mahsulot</t>
  </si>
  <si>
    <t>Chiqdi</t>
  </si>
  <si>
    <t>Sinov Xarajat</t>
  </si>
  <si>
    <t>Coca Cola</t>
  </si>
  <si>
    <t>Svet</t>
  </si>
  <si>
    <t>Oylik</t>
  </si>
  <si>
    <t>Anvar</t>
  </si>
  <si>
    <t>JAMI KIRIM (Daromad):</t>
  </si>
  <si>
    <t>JAMI XARAJAT (Chiqdi + Oylik):</t>
  </si>
  <si>
    <t>SOF FOYDA (Balans):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</si>
</sst>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Kirim va Xarajatlar Taqqoslamasi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Balans_September_2026!$E$8:$E$9</c:f>
              <c:strCache>
                <c:ptCount val="2"/>
                <c:pt idx="0">
                  <c:v>JAMI KIRIM (Daromad):</c:v>
                </c:pt>
                <c:pt idx="1">
                  <c:v>JAMI XARAJAT (Chiqdi + Oylik):</c:v>
                </c:pt>
              </c:strCache>
            </c:strRef>
          </c:cat>
          <c:val>
            <c:numRef>
              <c:f>Balans_September_2026!$F$8:$F$9</c:f>
              <c:numCache>
                <c:formatCode>General</c:formatCode>
                <c:ptCount val="2"/>
                <c:pt idx="0">
                  <c:v>1600000</c:v>
                </c:pt>
                <c:pt idx="1">
                  <c:v>5050000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Ko'rsatkichlar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Summa (so'm)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b4b64-95b5-489c-b7ca-0be6af10d5a4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4200525" y="381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0"/>
  <sheetViews>
    <sheetView tabSelected="1" workbookViewId="0">
      <selection activeCell="A1" sqref="A1"/>
    </sheetView>
  </sheetViews>
  <sheetFormatPr defaultColWidth="9" defaultRowHeight="15" outlineLevelCol="5"/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>
        <v>1</v>
      </c>
      <c r="B3" t="s">
        <v>6</v>
      </c>
      <c r="C3" t="s">
        <v>7</v>
      </c>
      <c r="D3">
        <v>1</v>
      </c>
      <c r="E3">
        <v>1000000</v>
      </c>
      <c r="F3">
        <f>D3*E3</f>
        <v>1000000</v>
      </c>
    </row>
    <row r="4" spans="1:6">
      <c r="A4">
        <v>2</v>
      </c>
      <c r="B4" t="s">
        <v>8</v>
      </c>
      <c r="C4" t="s">
        <v>9</v>
      </c>
      <c r="D4">
        <v>1</v>
      </c>
      <c r="E4">
        <v>200000</v>
      </c>
      <c r="F4">
        <f>D4*E4</f>
        <v>200000</v>
      </c>
    </row>
    <row r="5" spans="1:6">
      <c r="A5">
        <v>3</v>
      </c>
      <c r="B5" t="s">
        <v>6</v>
      </c>
      <c r="C5" t="s">
        <v>10</v>
      </c>
      <c r="D5">
        <v>50</v>
      </c>
      <c r="E5">
        <v>12000</v>
      </c>
      <c r="F5">
        <f>D5*E5</f>
        <v>600000</v>
      </c>
    </row>
    <row r="6" spans="1:6">
      <c r="A6">
        <v>4</v>
      </c>
      <c r="B6" t="s">
        <v>8</v>
      </c>
      <c r="C6" t="s">
        <v>11</v>
      </c>
      <c r="D6">
        <v>1</v>
      </c>
      <c r="E6">
        <v>350000</v>
      </c>
      <c r="F6">
        <f>D6*E6</f>
        <v>350000</v>
      </c>
    </row>
    <row r="7" spans="1:6">
      <c r="A7">
        <v>5</v>
      </c>
      <c r="B7" t="s">
        <v>12</v>
      </c>
      <c r="C7" t="s">
        <v>13</v>
      </c>
      <c r="D7">
        <v>1</v>
      </c>
      <c r="E7">
        <v>4500000</v>
      </c>
      <c r="F7">
        <f>D7*E7</f>
        <v>4500000</v>
      </c>
    </row>
    <row r="8" spans="1:6">
      <c r="E8" t="s">
        <v>14</v>
      </c>
      <c r="F8">
        <f>SUMIF(B3:B7,"Kirim",F3:F7)</f>
        <v>1600000</v>
      </c>
    </row>
    <row r="9" spans="1:6">
      <c r="E9" t="s">
        <v>15</v>
      </c>
      <c r="F9">
        <f>SUMIF(B3:B7,"Chiqdi",F3:F7)+SUMIF(B3:B7,"Oylik",F3:F7)</f>
        <v>5050000</v>
      </c>
    </row>
    <row r="10" spans="1:6">
      <c r="E10" s="2" t="s">
        <v>16</v>
      </c>
      <c r="F10" s="2">
        <f>F8-F9</f>
        <v>-3450000</v>
      </c>
    </row>
  </sheetData>
  <conditionalFormatting sqref="F10">
    <cfRule type="cellIs" dxfId="0" priority="1" stopIfTrue="1" operator="lessThan">
      <formula>0</formula>
    </cfRule>
    <cfRule type="cellIs" dxfId="1" priority="2" stopIfTrue="1" operator="greaterThanOrEqual">
      <formula>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Balans_September_2026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2026-09-13T17:12:00Z</dcterms:created>
  <dcterms:modified xsi:type="dcterms:W3CDTF">2026-09-13T17:38:57Z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C1BE65980CFF49DF8F561249C44B2DE0_12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