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000" windowHeight="11055"/>
  </bookViews>
  <sheets>
    <sheet name="Kompaniya Balans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<sst xmlns="http://schemas.openxmlformats.org/spreadsheetml/2006/main" count="13" uniqueCount="13">
  <si>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T/r</t>
  </si>
  <si>
    <t>Operatsiya Turi</t>
  </si>
  <si>
    <t>Nomi / Tavsifi</t>
  </si>
  <si>
    <t>Miqdori</t>
  </si>
  <si>
    <t>Narxi / Summasi</t>
  </si>
  <si>
    <t>Jami Summa</t>
  </si>
  <si>
    <t>Kirim</t>
  </si>
  <si>
    <t>Sinov Mahsulot</t>
  </si>
  <si>
    <t>Chiqdi</t>
  </si>
  <si>
    <t>Sinov Xarajat</t>
  </si>
  <si>
    <t>JAMI KIRIM (Daromad):</t>
  </si>
  <si>
    <t>JAMI XARAJAT (Chiqdi + Oylik):</t>
  </si>
  <si>
    <t>SOF FOYDA (Balans):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</si>
</sst>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rgb="FF008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7"/>
  <sheetViews>
    <sheetView tabSelected="1" workbookViewId="0">
      <selection activeCell="A1" sqref="A1"/>
    </sheetView>
  </sheetViews>
  <sheetFormatPr defaultColWidth="9" defaultRowHeight="15" outlineLevelRow="6" outlineLevelCol="5"/>
  <sheetData>
    <row r="2" spans="1:6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>
      <c r="A3">
        <v>1</v>
      </c>
      <c r="B3" t="s">
        <v>6</v>
      </c>
      <c r="C3" t="s">
        <v>7</v>
      </c>
      <c r="D3">
        <v>1</v>
      </c>
      <c r="E3">
        <v>1000000</v>
      </c>
      <c r="F3">
        <f>D3*E3</f>
        <v>1000000</v>
      </c>
    </row>
    <row r="4" spans="1:6">
      <c r="A4">
        <v>2</v>
      </c>
      <c r="B4" t="s">
        <v>8</v>
      </c>
      <c r="C4" t="s">
        <v>9</v>
      </c>
      <c r="D4">
        <v>1</v>
      </c>
      <c r="E4">
        <v>200000</v>
      </c>
      <c r="F4">
        <f>D4*E4</f>
        <v>200000</v>
      </c>
    </row>
    <row r="5" spans="1:6">
      <c r="E5" t="s">
        <v>10</v>
      </c>
      <c r="F5">
        <f>SUMIF(B3:B4,"Kirim",F3:F4)</f>
        <v>1000000</v>
      </c>
    </row>
    <row r="6" spans="1:6">
      <c r="E6" t="s">
        <v>11</v>
      </c>
      <c r="F6">
        <f>SUMIF(B3:B4,"Chiqdi",F3:F4)+SUMIF(B3:B4,"Oylik",F3:F4)</f>
        <v>200000</v>
      </c>
    </row>
    <row r="7" spans="1:6">
      <c r="E7" s="2" t="s">
        <v>12</v>
      </c>
      <c r="F7" s="3">
        <f>F5-F6</f>
        <v>800000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Kompaniya Balansi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2026-09-13T07:09:00Z</dcterms:created>
  <dcterms:modified xsi:type="dcterms:W3CDTF">2026-09-13T07:09:08Z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ED0D7EF6E9C941CF81FF7C169C37D50C_12</vt:lpwstr>
  </property>
  <property fmtid="{D5CDD505-2E9C-101B-9397-08002B2CF9AE}" pid="3" name="KSOProductBuildVer">
    <vt:lpwstr>1049-12.1.0.28485</vt:lpwstr>
  </property>
  <property fmtid="{D5CDD505-2E9C-101B-9397-08002B2CF9AE}" pid="4" name="CalculationRule">
    <vt:i4>0</vt:i4>
  </property>
</Properties>
</file>