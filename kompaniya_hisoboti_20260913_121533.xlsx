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055"/>
  </bookViews>
  <sheets>
    <sheet name="Kompaniya Balan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<sst xmlns="http://schemas.openxmlformats.org/spreadsheetml/2006/main" count="15" uniqueCount="15">
  <si>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T/r</t>
  </si>
  <si>
    <t>Operatsiya Turi</t>
  </si>
  <si>
    <t>Nomi / Tavsifi</t>
  </si>
  <si>
    <t>Miqdori</t>
  </si>
  <si>
    <t>Narxi / Summasi</t>
  </si>
  <si>
    <t>Jami Summa</t>
  </si>
  <si>
    <t>Kirim</t>
  </si>
  <si>
    <t>Sinov Mahsulot</t>
  </si>
  <si>
    <t>Chiqdi</t>
  </si>
  <si>
    <t>Sinov Xarajat</t>
  </si>
  <si>
    <t>"oylik Anvar 1 dona 4000000"</t>
  </si>
  <si>
    <t>1</t>
  </si>
  <si>
    <t>JAMI KIRIM (Daromad):</t>
  </si>
  <si>
    <t>JAMI XARAJAT (Chiqdi + Oylik):</t>
  </si>
  <si>
    <t>SOF FOYDA (Balans):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</si>
</sst>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008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8"/>
  <sheetViews>
    <sheetView tabSelected="1" workbookViewId="0">
      <selection activeCell="A2" sqref="A2:H9"/>
    </sheetView>
  </sheetViews>
  <sheetFormatPr defaultColWidth="9" defaultRowHeight="15" outlineLevelRow="7" outlineLevelCol="5"/>
  <sheetData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>
        <v>1</v>
      </c>
      <c r="B3" t="s">
        <v>6</v>
      </c>
      <c r="C3" t="s">
        <v>7</v>
      </c>
      <c r="D3">
        <v>1</v>
      </c>
      <c r="E3">
        <v>1000000</v>
      </c>
      <c r="F3">
        <f>D3*E3</f>
        <v>1000000</v>
      </c>
    </row>
    <row r="4" spans="1:6">
      <c r="A4">
        <v>2</v>
      </c>
      <c r="B4" t="s">
        <v>8</v>
      </c>
      <c r="C4" t="s">
        <v>9</v>
      </c>
      <c r="D4">
        <v>1</v>
      </c>
      <c r="E4">
        <v>200000</v>
      </c>
      <c r="F4">
        <f>D4*E4</f>
        <v>200000</v>
      </c>
    </row>
    <row r="5" spans="1:6">
      <c r="A5">
        <v>3</v>
      </c>
      <c r="B5" t="s">
        <v>10</v>
      </c>
      <c r="C5" t="s">
        <v>11</v>
      </c>
      <c r="D5">
        <v>1</v>
      </c>
      <c r="E5">
        <v>0</v>
      </c>
      <c r="F5">
        <f>D5*E5</f>
        <v>0</v>
      </c>
    </row>
    <row r="6" spans="1:6">
      <c r="E6" t="s">
        <v>12</v>
      </c>
      <c r="F6">
        <f>SUMIF(B3:B5,"Kirim",F3:F5)</f>
        <v>1000000</v>
      </c>
    </row>
    <row r="7" spans="1:6">
      <c r="E7" t="s">
        <v>13</v>
      </c>
      <c r="F7">
        <f>SUMIF(B3:B5,"Chiqdi",F3:F5)+SUMIF(B3:B5,"Oylik",F3:F5)</f>
        <v>200000</v>
      </c>
    </row>
    <row r="8" spans="1:6">
      <c r="E8" s="2" t="s">
        <v>14</v>
      </c>
      <c r="F8" s="3">
        <f>F6-F7</f>
        <v>800000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Kompaniya Balansi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2026-09-13T07:15:00Z</dcterms:created>
  <dcterms:modified xsi:type="dcterms:W3CDTF">2026-09-13T17:38:59Z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A200371FDA0B4B629D3439C4B2C1166B_12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